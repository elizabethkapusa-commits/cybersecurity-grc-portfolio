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/>
  <xr:revisionPtr revIDLastSave="12" documentId="11_97BA462341754B8FF7B238B5AAD2A1B6545509BB" xr6:coauthVersionLast="47" xr6:coauthVersionMax="47" xr10:uidLastSave="{9343F60E-BFE5-4715-B1BE-677B9A647B5C}"/>
  <bookViews>
    <workbookView xWindow="0" yWindow="0" windowWidth="0" windowHeight="0" activeTab="5" xr2:uid="{00000000-000D-0000-FFFF-FFFF00000000}"/>
  </bookViews>
  <sheets>
    <sheet name="Executive Dashboard" sheetId="1" r:id="rId1"/>
    <sheet name="Risk Register" sheetId="2" r:id="rId2"/>
    <sheet name="Risk Matrix" sheetId="3" r:id="rId3"/>
    <sheet name="Evidence Tracker" sheetId="4" r:id="rId4"/>
    <sheet name="NIST CSF Assessment" sheetId="5" r:id="rId5"/>
    <sheet name="Dashboard Data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G11" i="5"/>
  <c r="G10" i="5"/>
  <c r="G9" i="5"/>
  <c r="G8" i="5"/>
  <c r="G7" i="5"/>
  <c r="G6" i="5"/>
  <c r="G5" i="5"/>
  <c r="L9" i="2"/>
  <c r="M9" i="2" s="1"/>
  <c r="G9" i="2"/>
  <c r="H9" i="2" s="1"/>
  <c r="L8" i="2"/>
  <c r="M8" i="2" s="1"/>
  <c r="G8" i="2"/>
  <c r="H8" i="2" s="1"/>
  <c r="L7" i="2"/>
  <c r="M7" i="2" s="1"/>
  <c r="G7" i="2"/>
  <c r="H7" i="2" s="1"/>
  <c r="L6" i="2"/>
  <c r="M6" i="2" s="1"/>
  <c r="G6" i="2"/>
  <c r="H6" i="2" s="1"/>
  <c r="L5" i="2"/>
  <c r="M5" i="2" s="1"/>
  <c r="G5" i="2"/>
  <c r="H5" i="2" s="1"/>
</calcChain>
</file>

<file path=xl/sharedStrings.xml><?xml version="1.0" encoding="utf-8"?>
<sst xmlns="http://schemas.openxmlformats.org/spreadsheetml/2006/main" count="244" uniqueCount="170">
  <si>
    <t>CLOUDSHIELD TECHNOLOGIES : GRC EXECUTIVE DASHBOARD</t>
  </si>
  <si>
    <t>Cybersecurity Risk &amp; Compliance Assessment | Independent Portfolio Project | Elizabeth Kapusa</t>
  </si>
  <si>
    <t>KPI</t>
  </si>
  <si>
    <t>Value</t>
  </si>
  <si>
    <t>Residual Rating</t>
  </si>
  <si>
    <t>Count</t>
  </si>
  <si>
    <t>Total Risks</t>
  </si>
  <si>
    <t>Low</t>
  </si>
  <si>
    <t>High Residual Risks</t>
  </si>
  <si>
    <t>Medium</t>
  </si>
  <si>
    <t>Medium Residual Risks</t>
  </si>
  <si>
    <t>High</t>
  </si>
  <si>
    <t>Open Findings</t>
  </si>
  <si>
    <t>Critical</t>
  </si>
  <si>
    <t>Executive Risk Narrative</t>
  </si>
  <si>
    <t>CloudShield’s initial assessment identifies concentrated risk in privileged identity management, vulnerability remediation, and third-party governance. The most urgent actions are to close privileged-access gaps, enforce MFA for privileged interactive accounts, remediate the overdue production vulnerability, and formalize repeatable evidence-based control processes. Backup restoration testing is a moderate but important resilience gap.</t>
  </si>
  <si>
    <t>NIST CSF 2.0 Current vs. Target Posture</t>
  </si>
  <si>
    <t>Assessment Method</t>
  </si>
  <si>
    <t>The portfolio uses a 1–4 implementation scale (1 Initial, 2 Developing, 3 Defined, 4 Managed) to compare CloudShield's current practices with its target state. This is an assessment aid created for the simulated project and is not presented as a NIST CSF Tier.</t>
  </si>
  <si>
    <t>CLOUDSHIELD TECHNOLOGIES: CYBERSECURITY RISK REGISTER</t>
  </si>
  <si>
    <t>Independent GRC Portfolio Project | Simulated Organization | Prepared by Elizabeth Kapusa | 2026</t>
  </si>
  <si>
    <t>Risk ID</t>
  </si>
  <si>
    <t>Risk / Finding</t>
  </si>
  <si>
    <t>Business Asset</t>
  </si>
  <si>
    <t>Threat Scenario / Control Gap</t>
  </si>
  <si>
    <t>Likelihood</t>
  </si>
  <si>
    <t>Impact</t>
  </si>
  <si>
    <t>Inherent Score</t>
  </si>
  <si>
    <t>Inherent Rating</t>
  </si>
  <si>
    <t>Existing Controls</t>
  </si>
  <si>
    <t>Residual Likelihood</t>
  </si>
  <si>
    <t>Residual Impact</t>
  </si>
  <si>
    <t>Residual Score</t>
  </si>
  <si>
    <t>Treatment</t>
  </si>
  <si>
    <t>Risk Owner</t>
  </si>
  <si>
    <t>Recommended Remediation</t>
  </si>
  <si>
    <t>Status</t>
  </si>
  <si>
    <t>Target Date</t>
  </si>
  <si>
    <t>GRC-001</t>
  </si>
  <si>
    <t>Inadequate Privileged Account Offboarding</t>
  </si>
  <si>
    <t>Azure production infrastructure / privileged identities</t>
  </si>
  <si>
    <t>Former engineer's privileged Azure account remained active for 19 days after termination; three successful post-termination authentications; no formal quarterly privileged-access review.</t>
  </si>
  <si>
    <t>Microsoft 365 account disabled on termination date; HR termination record exists; Azure sign-in logging enabled.</t>
  </si>
  <si>
    <t>Mitigate</t>
  </si>
  <si>
    <t>IT / Security Manager</t>
  </si>
  <si>
    <t>Automate HR-to-IT offboarding; revoke all access immediately at termination; maintain privileged-account inventory; perform recurring privileged-access reviews; alert on anomalous/post-termination access.</t>
  </si>
  <si>
    <t>Open</t>
  </si>
  <si>
    <t>GRC-002</t>
  </si>
  <si>
    <t>Incomplete MFA Enforcement for Privileged Accounts</t>
  </si>
  <si>
    <t>Azure privileged identities</t>
  </si>
  <si>
    <t>Two privileged administrative/service accounts are not covered by the standard MFA requirement.</t>
  </si>
  <si>
    <t>MFA is enabled for most user accounts; privileged roles are identifiable in Azure.</t>
  </si>
  <si>
    <t>Identity &amp; Access Management Owner</t>
  </si>
  <si>
    <t>Require MFA for all eligible privileged interactive accounts; use appropriate workload identities for service accounts; remove unnecessary privilege; document exceptions and recurring access reviews.</t>
  </si>
  <si>
    <t>GRC-003</t>
  </si>
  <si>
    <t>Overdue Production Vulnerability / No Remediation SLA</t>
  </si>
  <si>
    <t>Internet-facing customer application</t>
  </si>
  <si>
    <t>A high-severity vulnerability has remained unresolved for 47 days and no formal severity-based remediation SLA exists.</t>
  </si>
  <si>
    <t>Vulnerability scanning is performed and the issue has been identified.</t>
  </si>
  <si>
    <t>Application / Security Engineering</t>
  </si>
  <si>
    <t>Remediate the identified vulnerability; adopt Critical=24-hour and High=7-day targets; require documented exceptions, compensating controls, accountable risk acceptance, and overdue escalation.</t>
  </si>
  <si>
    <t>GRC-004</t>
  </si>
  <si>
    <t>Inadequate Backup Restoration Testing</t>
  </si>
  <si>
    <t>PostgreSQL customer database</t>
  </si>
  <si>
    <t>Daily backups complete successfully, but no documented restoration test has been performed for 11 months.</t>
  </si>
  <si>
    <t>Daily automated backups, retention, documented backup procedure, and a previously successful restoration test.</t>
  </si>
  <si>
    <t>Infrastructure / Business Continuity Owner</t>
  </si>
  <si>
    <t>Perform and document restoration testing at least quarterly; record recovery results, RTO/RPO observations, failures, evidence, and corrective actions.</t>
  </si>
  <si>
    <t>GRC-005</t>
  </si>
  <si>
    <t>Inadequate Third-Party Security Review</t>
  </si>
  <si>
    <t>Customer information shared with SaaS vendor</t>
  </si>
  <si>
    <t>Vendor was approved two years ago, but there is no documented annual security review, current questionnaire, or current assurance report on file.</t>
  </si>
  <si>
    <t>Vendor onboarding approval exists and only limited customer information is shared.</t>
  </si>
  <si>
    <t>Vendor Risk / Security Owner</t>
  </si>
  <si>
    <t>Establish annual risk-based vendor reviews; obtain current security questionnaire and assurance evidence; document risk decisions, contractual requirements, exceptions, and remediation tracking.</t>
  </si>
  <si>
    <t>5 × 5 CYBERSECURITY RISK MATRIX</t>
  </si>
  <si>
    <t>Likelihood ↓ / Impact →</t>
  </si>
  <si>
    <t>Score</t>
  </si>
  <si>
    <t>Rating</t>
  </si>
  <si>
    <t>1–4</t>
  </si>
  <si>
    <t>5–9</t>
  </si>
  <si>
    <t>10–16</t>
  </si>
  <si>
    <t>17–25</t>
  </si>
  <si>
    <t>AUDIT EVIDENCE &amp; REMEDIATION TRACKER</t>
  </si>
  <si>
    <t>Evidence Requested</t>
  </si>
  <si>
    <t>Evidence Status</t>
  </si>
  <si>
    <t>Testing Result</t>
  </si>
  <si>
    <t>Finding / Observation</t>
  </si>
  <si>
    <t>Remediation Owner</t>
  </si>
  <si>
    <t>Due Date</t>
  </si>
  <si>
    <t>Remediation Status</t>
  </si>
  <si>
    <t>Retest Required</t>
  </si>
  <si>
    <t>Notes</t>
  </si>
  <si>
    <t>HR termination record; M365 disable timestamp; Azure account status; Azure sign-in logs; privileged role assignment; access-review records</t>
  </si>
  <si>
    <t>Partial</t>
  </si>
  <si>
    <t>Fail</t>
  </si>
  <si>
    <t>Azure privileged access remained active 19 days after termination; three successful authentications occurred.</t>
  </si>
  <si>
    <t>Yes</t>
  </si>
  <si>
    <t>No customer-data access or alteration has been established.</t>
  </si>
  <si>
    <t>Privileged account inventory; role assignments; MFA/authentication methods; conditional-access configuration; exception records</t>
  </si>
  <si>
    <t>Two privileged accounts are outside standard MFA enforcement.</t>
  </si>
  <si>
    <t>Service accounts should be evaluated for workload identity/non-interactive design.</t>
  </si>
  <si>
    <t>Vulnerability scan report; ticket history; asset criticality; exception approvals; remediation standard</t>
  </si>
  <si>
    <t>High-severity internet-facing vulnerability remains open after 47 days; no formal SLA.</t>
  </si>
  <si>
    <t>Proposed SLA: Critical 24 hours; High 7 days.</t>
  </si>
  <si>
    <t>Backup job logs; retention settings; restoration-test records; recovery procedure</t>
  </si>
  <si>
    <t>Needs Improvement</t>
  </si>
  <si>
    <t>Backups complete, but restoration capability has not been documented/tested in 11 months.</t>
  </si>
  <si>
    <t>Quarterly documented restoration testing recommended.</t>
  </si>
  <si>
    <t>Vendor inventory; security questionnaire; assurance report; contract security clauses; annual review record</t>
  </si>
  <si>
    <t>Insufficient</t>
  </si>
  <si>
    <t>No current annual vendor security review or assurance evidence on file.</t>
  </si>
  <si>
    <t>Annual risk-based vendor reassessment recommended.</t>
  </si>
  <si>
    <t>CLOUDSHIELD TECHNOLOGIES — NIST CSF 2.0 CURRENT vs. TARGET ASSESSMENT</t>
  </si>
  <si>
    <t>Portfolio assessment scale: 1 Initial | 2 Developing | 3 Defined | 4 Managed — project scoring aid, not a NIST CSF Tier.</t>
  </si>
  <si>
    <t>Function</t>
  </si>
  <si>
    <t>Category / Focus</t>
  </si>
  <si>
    <t>Current State Evidence</t>
  </si>
  <si>
    <t>Key Gap</t>
  </si>
  <si>
    <t>Current Score</t>
  </si>
  <si>
    <t>Target Score</t>
  </si>
  <si>
    <t>Gap</t>
  </si>
  <si>
    <t>Priority</t>
  </si>
  <si>
    <t>Linked Risk(s)</t>
  </si>
  <si>
    <t>Recommended Action</t>
  </si>
  <si>
    <t>Assessment Status</t>
  </si>
  <si>
    <t>GOVERN</t>
  </si>
  <si>
    <t>Risk Management Strategy &amp; Policy</t>
  </si>
  <si>
    <t>Security activities and some procedures exist, but risk decisions and remediation expectations are not consistently formalized.</t>
  </si>
  <si>
    <t>No unified cybersecurity risk methodology, formal risk acceptance workflow, or complete policy/SLA structure.</t>
  </si>
  <si>
    <t>Approve a documented cyber-risk methodology, risk acceptance process, control ownership model, and vulnerability-remediation standard.</t>
  </si>
  <si>
    <t>Gap Identified</t>
  </si>
  <si>
    <t>Cybersecurity Supply Chain Risk Management</t>
  </si>
  <si>
    <t>A SaaS vendor was approved during onboarding and only limited customer information is shared.</t>
  </si>
  <si>
    <t>No documented annual reassessment, current security questionnaire, or current assurance evidence.</t>
  </si>
  <si>
    <t>Establish risk-tiered vendor due diligence, annual reassessment, contractual security requirements, evidence retention, and remediation tracking.</t>
  </si>
  <si>
    <t>IDENTIFY</t>
  </si>
  <si>
    <t>Asset &amp; Risk Understanding</t>
  </si>
  <si>
    <t>Major cloud assets, customer application, PostgreSQL database, privileged identities, and vendors are identifiable; vulnerability scanning is performed.</t>
  </si>
  <si>
    <t>Asset/risk information is not yet managed through a consistent enterprise risk-register ownership process.</t>
  </si>
  <si>
    <t>GRC-001; GRC-003; GRC-005</t>
  </si>
  <si>
    <t>Maintain authoritative inventories, assign accountable owners, and review the risk register on a defined cadence.</t>
  </si>
  <si>
    <t>Improvement Needed</t>
  </si>
  <si>
    <t>PROTECT</t>
  </si>
  <si>
    <t>Identity Management, Authentication &amp; Access Control</t>
  </si>
  <si>
    <t>MFA protects most user accounts; M365 access was disabled on termination date; Azure sign-in logs and privileged role data are available.</t>
  </si>
  <si>
    <t>Two privileged accounts are outside standard MFA enforcement; a terminated user's privileged Azure access remained active for 19 days.</t>
  </si>
  <si>
    <t>GRC-001; GRC-002</t>
  </si>
  <si>
    <t>Automate joiner/mover/leaver workflows, enforce MFA for privileged interactive accounts, use workload identities, and conduct recurring privileged-access reviews.</t>
  </si>
  <si>
    <t>Platform Security &amp; Vulnerability Remediation</t>
  </si>
  <si>
    <t>Vulnerability scanning is performed and the high-severity production issue was identified.</t>
  </si>
  <si>
    <t>No formal remediation SLA; high-severity internet-facing vulnerability remained unresolved for 47 days.</t>
  </si>
  <si>
    <t>Implement Critical=24-hour and High=7-day remediation targets, exception/risk-acceptance workflow, compensating controls, and overdue escalation.</t>
  </si>
  <si>
    <t>DETECT</t>
  </si>
  <si>
    <t>Continuous Monitoring &amp; Event Analysis</t>
  </si>
  <si>
    <t>Azure sign-in logging exists and post-termination authentications can be identified; vulnerability scanning is also in place.</t>
  </si>
  <si>
    <t>No demonstrated mature alerting/escalation process for anomalous privileged access.</t>
  </si>
  <si>
    <t>Define high-risk identity alerts, triage/escalation ownership, retention expectations, and recurring review.</t>
  </si>
  <si>
    <t>RESPOND</t>
  </si>
  <si>
    <t>Incident Management &amp; Analysis</t>
  </si>
  <si>
    <t>CloudShield can investigate authentication logs and has incident-response procedures.</t>
  </si>
  <si>
    <t>Procedures have not been tested recently; no demonstrated exercise/evidence package for the privileged-access scenario.</t>
  </si>
  <si>
    <t>Run a tabletop exercise, define incident severity/escalation criteria, preserve evidence, and track lessons learned.</t>
  </si>
  <si>
    <t>RECOVER</t>
  </si>
  <si>
    <t>Recovery Planning &amp; Execution</t>
  </si>
  <si>
    <t>Daily PostgreSQL backups complete successfully; backups are retained; procedures exist; a prior restoration test succeeded.</t>
  </si>
  <si>
    <t>No documented restoration test has been performed for 11 months.</t>
  </si>
  <si>
    <t>Perform documented restoration tests at least quarterly; record results, RTO/RPO observations, failures, and corrective actions.</t>
  </si>
  <si>
    <t>Current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</si>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</sst>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6">
    <font>
      <sz val="11"/>
      <name val="Carlito"/>
    </font>
    <font>
      <sz val="11"/>
      <name val="Times New Roman"/>
    </font>
    <font>
      <b/>
      <sz val="17"/>
      <color rgb="FFFFFFFF"/>
      <name val="Times New Roman"/>
    </font>
    <font>
      <i/>
      <sz val="11"/>
      <name val="Times New Roman"/>
    </font>
    <font>
      <b/>
      <sz val="11"/>
      <color rgb="FFFFFFFF"/>
      <name val="Times New Roman"/>
    </font>
    <font>
      <b/>
      <sz val="16"/>
      <color rgb="FFFFFFFF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9" borderId="0" xfId="0" applyFont="1" applyFill="1" applyAlignment="1">
      <alignment vertical="top" wrapText="1"/>
    </xf>
    <xf numFmtId="0" fontId="2" fillId="2" borderId="0" xfId="0" applyFont="1" applyFill="1" applyAlignment="1">
      <alignment horizontal="center"/>
    </xf>
    <xf numFmtId="0" fontId="1" fillId="0" borderId="0" xfId="0" applyFont="1"/>
    <xf numFmtId="0" fontId="3" fillId="3" borderId="0" xfId="0" applyFont="1" applyFill="1" applyAlignment="1">
      <alignment horizontal="center"/>
    </xf>
    <xf numFmtId="0" fontId="4" fillId="4" borderId="0" xfId="0" applyFont="1" applyFill="1"/>
    <xf numFmtId="0" fontId="5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4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4" fillId="4" borderId="0" xfId="0" applyFont="1" applyFill="1" applyAlignment="1">
      <alignment wrapText="1"/>
    </xf>
    <xf numFmtId="0" fontId="1" fillId="6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4" fillId="4" borderId="0" xfId="0" applyFont="1" applyFill="1" applyAlignment="1"/>
  </cellXfs>
  <cellStyles count="1">
    <cellStyle name="Normal" xfId="0" builtinId="0"/>
  </cellStyles>
  <dxfs count="53"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ill>
        <patternFill patternType="solid">
          <bgColor rgb="FFF4CC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Residual Risk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'Dashboard Data'!$A$2:$A$5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'Dashboard Data'!$B$2:$B$5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0-499B-A251-15226DDF2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Current vs. Target Implementation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Current</c:v>
          </c:tx>
          <c:invertIfNegative val="1"/>
          <c:cat>
            <c:strRef>
              <c:f>'Dashboard Data'!$D$2:$D$7</c:f>
              <c:strCache>
                <c:ptCount val="6"/>
                <c:pt idx="0">
                  <c:v>GOVERN</c:v>
                </c:pt>
                <c:pt idx="1">
                  <c:v>IDENTIFY</c:v>
                </c:pt>
                <c:pt idx="2">
                  <c:v>PROTECT</c:v>
                </c:pt>
                <c:pt idx="3">
                  <c:v>DETECT</c:v>
                </c:pt>
                <c:pt idx="4">
                  <c:v>RESPOND</c:v>
                </c:pt>
                <c:pt idx="5">
                  <c:v>RECOVER</c:v>
                </c:pt>
              </c:strCache>
            </c:strRef>
          </c:cat>
          <c:val>
            <c:numRef>
              <c:f>'Dashboard Data'!$E$2:$E$7</c:f>
              <c:numCache>
                <c:formatCode>General</c:formatCode>
                <c:ptCount val="6"/>
                <c:pt idx="0">
                  <c:v>1.5</c:v>
                </c:pt>
                <c:pt idx="1">
                  <c:v>2</c:v>
                </c:pt>
                <c:pt idx="2">
                  <c:v>1.5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1-4FBD-9A1B-DE32C023745B}"/>
            </c:ext>
          </c:extLst>
        </c:ser>
        <c:ser>
          <c:idx val="1"/>
          <c:order val="1"/>
          <c:tx>
            <c:v>Target</c:v>
          </c:tx>
          <c:invertIfNegative val="1"/>
          <c:cat>
            <c:strRef>
              <c:f>'Dashboard Data'!$D$2:$D$7</c:f>
              <c:strCache>
                <c:ptCount val="6"/>
                <c:pt idx="0">
                  <c:v>GOVERN</c:v>
                </c:pt>
                <c:pt idx="1">
                  <c:v>IDENTIFY</c:v>
                </c:pt>
                <c:pt idx="2">
                  <c:v>PROTECT</c:v>
                </c:pt>
                <c:pt idx="3">
                  <c:v>DETECT</c:v>
                </c:pt>
                <c:pt idx="4">
                  <c:v>RESPOND</c:v>
                </c:pt>
                <c:pt idx="5">
                  <c:v>RECOVER</c:v>
                </c:pt>
              </c:strCache>
            </c:strRef>
          </c:cat>
          <c:val>
            <c:numRef>
              <c:f>'Dashboard Data'!$F$2:$F$7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01-4FBD-9A1B-DE32C0237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10</xdr:col>
      <xdr:colOff>0</xdr:colOff>
      <xdr:row>10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kRegisterTable" displayName="RiskRegisterTable" ref="A4:R9" totalsRowShown="0" headerRowDxfId="44" dataDxfId="43">
  <tableColumns count="18">
    <tableColumn id="1" xr3:uid="{00000000-0010-0000-0000-000001000000}" name="Risk ID" dataDxfId="42"/>
    <tableColumn id="2" xr3:uid="{00000000-0010-0000-0000-000002000000}" name="Risk / Finding" dataDxfId="41"/>
    <tableColumn id="3" xr3:uid="{00000000-0010-0000-0000-000003000000}" name="Business Asset" dataDxfId="40"/>
    <tableColumn id="4" xr3:uid="{00000000-0010-0000-0000-000004000000}" name="Threat Scenario / Control Gap" dataDxfId="39"/>
    <tableColumn id="5" xr3:uid="{00000000-0010-0000-0000-000005000000}" name="Likelihood" dataDxfId="38"/>
    <tableColumn id="6" xr3:uid="{00000000-0010-0000-0000-000006000000}" name="Impact" dataDxfId="37"/>
    <tableColumn id="7" xr3:uid="{00000000-0010-0000-0000-000007000000}" name="Inherent Score" dataDxfId="36"/>
    <tableColumn id="8" xr3:uid="{00000000-0010-0000-0000-000008000000}" name="Inherent Rating" dataDxfId="35"/>
    <tableColumn id="9" xr3:uid="{00000000-0010-0000-0000-000009000000}" name="Existing Controls" dataDxfId="34"/>
    <tableColumn id="10" xr3:uid="{00000000-0010-0000-0000-00000A000000}" name="Residual Likelihood" dataDxfId="33"/>
    <tableColumn id="11" xr3:uid="{00000000-0010-0000-0000-00000B000000}" name="Residual Impact" dataDxfId="32"/>
    <tableColumn id="12" xr3:uid="{00000000-0010-0000-0000-00000C000000}" name="Residual Score" dataDxfId="31"/>
    <tableColumn id="13" xr3:uid="{00000000-0010-0000-0000-00000D000000}" name="Residual Rating" dataDxfId="30"/>
    <tableColumn id="14" xr3:uid="{00000000-0010-0000-0000-00000E000000}" name="Treatment" dataDxfId="29"/>
    <tableColumn id="15" xr3:uid="{00000000-0010-0000-0000-00000F000000}" name="Risk Owner" dataDxfId="28"/>
    <tableColumn id="16" xr3:uid="{00000000-0010-0000-0000-000010000000}" name="Recommended Remediation" dataDxfId="27"/>
    <tableColumn id="17" xr3:uid="{00000000-0010-0000-0000-000011000000}" name="Status" dataDxfId="26"/>
    <tableColumn id="18" xr3:uid="{00000000-0010-0000-0000-000012000000}" name="Target Date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idenceTrackerTable" displayName="EvidenceTrackerTable" ref="A3:J8" totalsRowShown="0" headerRowDxfId="24" dataDxfId="23">
  <tableColumns count="10">
    <tableColumn id="1" xr3:uid="{00000000-0010-0000-0100-000001000000}" name="Risk ID" dataDxfId="22"/>
    <tableColumn id="2" xr3:uid="{00000000-0010-0000-0100-000002000000}" name="Evidence Requested" dataDxfId="21"/>
    <tableColumn id="3" xr3:uid="{00000000-0010-0000-0100-000003000000}" name="Evidence Status" dataDxfId="20"/>
    <tableColumn id="4" xr3:uid="{00000000-0010-0000-0100-000004000000}" name="Testing Result" dataDxfId="19"/>
    <tableColumn id="5" xr3:uid="{00000000-0010-0000-0100-000005000000}" name="Finding / Observation" dataDxfId="18"/>
    <tableColumn id="6" xr3:uid="{00000000-0010-0000-0100-000006000000}" name="Remediation Owner" dataDxfId="17"/>
    <tableColumn id="7" xr3:uid="{00000000-0010-0000-0100-000007000000}" name="Due Date" dataDxfId="16"/>
    <tableColumn id="8" xr3:uid="{00000000-0010-0000-0100-000008000000}" name="Remediation Status" dataDxfId="15"/>
    <tableColumn id="9" xr3:uid="{00000000-0010-0000-0100-000009000000}" name="Retest Required" dataDxfId="14"/>
    <tableColumn id="10" xr3:uid="{00000000-0010-0000-0100-00000A000000}" name="Notes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SFAssessmentTable" displayName="CSFAssessmentTable" ref="A4:K12" totalsRowShown="0" headerRowDxfId="12" dataDxfId="11">
  <tableColumns count="11">
    <tableColumn id="1" xr3:uid="{00000000-0010-0000-0200-000001000000}" name="Function" dataDxfId="10"/>
    <tableColumn id="2" xr3:uid="{00000000-0010-0000-0200-000002000000}" name="Category / Focus" dataDxfId="9"/>
    <tableColumn id="3" xr3:uid="{00000000-0010-0000-0200-000003000000}" name="Current State Evidence" dataDxfId="8"/>
    <tableColumn id="4" xr3:uid="{00000000-0010-0000-0200-000004000000}" name="Key Gap" dataDxfId="7"/>
    <tableColumn id="5" xr3:uid="{00000000-0010-0000-0200-000005000000}" name="Current Score" dataDxfId="6"/>
    <tableColumn id="6" xr3:uid="{00000000-0010-0000-0200-000006000000}" name="Target Score" dataDxfId="5"/>
    <tableColumn id="7" xr3:uid="{00000000-0010-0000-0200-000007000000}" name="Gap" dataDxfId="4"/>
    <tableColumn id="8" xr3:uid="{00000000-0010-0000-0200-000008000000}" name="Priority" dataDxfId="3"/>
    <tableColumn id="9" xr3:uid="{00000000-0010-0000-0200-000009000000}" name="Linked Risk(s)" dataDxfId="2"/>
    <tableColumn id="10" xr3:uid="{00000000-0010-0000-0200-00000A000000}" name="Recommended Action" dataDxfId="1"/>
    <tableColumn id="11" xr3:uid="{00000000-0010-0000-0200-00000B000000}" name="Assessment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opLeftCell="A17" zoomScaleNormal="100" zoomScaleSheetLayoutView="100" workbookViewId="0">
      <selection activeCell="M17" sqref="M17"/>
    </sheetView>
  </sheetViews>
  <sheetFormatPr defaultRowHeight="15"/>
  <cols>
    <col min="1" max="1" width="26" style="3" customWidth="1"/>
    <col min="2" max="2" width="15" style="3" customWidth="1"/>
    <col min="3" max="3" width="9" style="3"/>
    <col min="4" max="4" width="20" style="3" customWidth="1"/>
    <col min="5" max="5" width="12" style="3" customWidth="1"/>
    <col min="6" max="16384" width="9" style="3"/>
  </cols>
  <sheetData>
    <row r="1" spans="1:10" ht="32.1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>
      <c r="A4" s="5" t="s">
        <v>2</v>
      </c>
      <c r="B4" s="5" t="s">
        <v>3</v>
      </c>
      <c r="D4" s="5" t="s">
        <v>4</v>
      </c>
      <c r="E4" s="5" t="s">
        <v>5</v>
      </c>
    </row>
    <row r="5" spans="1:10">
      <c r="A5" s="3" t="s">
        <v>6</v>
      </c>
      <c r="B5" s="3">
        <v>5</v>
      </c>
      <c r="D5" s="3" t="s">
        <v>7</v>
      </c>
      <c r="E5" s="3">
        <v>0</v>
      </c>
    </row>
    <row r="6" spans="1:10">
      <c r="A6" s="3" t="s">
        <v>8</v>
      </c>
      <c r="B6" s="3">
        <v>4</v>
      </c>
      <c r="D6" s="3" t="s">
        <v>9</v>
      </c>
      <c r="E6" s="3">
        <v>1</v>
      </c>
    </row>
    <row r="7" spans="1:10">
      <c r="A7" s="3" t="s">
        <v>10</v>
      </c>
      <c r="B7" s="3">
        <v>1</v>
      </c>
      <c r="D7" s="3" t="s">
        <v>11</v>
      </c>
      <c r="E7" s="3">
        <v>4</v>
      </c>
    </row>
    <row r="8" spans="1:10">
      <c r="A8" s="3" t="s">
        <v>12</v>
      </c>
      <c r="B8" s="3">
        <v>5</v>
      </c>
      <c r="D8" s="3" t="s">
        <v>13</v>
      </c>
      <c r="E8" s="3">
        <v>0</v>
      </c>
    </row>
    <row r="11" spans="1:10">
      <c r="A11" s="23" t="s">
        <v>14</v>
      </c>
      <c r="B11" s="23"/>
      <c r="C11" s="23"/>
      <c r="D11" s="23"/>
      <c r="E11" s="23"/>
      <c r="F11" s="23"/>
      <c r="G11" s="23"/>
      <c r="H11" s="23"/>
      <c r="I11" s="23"/>
      <c r="J11" s="23"/>
    </row>
    <row r="12" spans="1:10">
      <c r="A12" s="1" t="s">
        <v>15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8" spans="1:10">
      <c r="A18" s="23" t="s">
        <v>16</v>
      </c>
      <c r="B18" s="23"/>
      <c r="C18" s="23"/>
      <c r="D18" s="23"/>
      <c r="E18" s="23"/>
      <c r="F18" s="23"/>
      <c r="G18" s="23"/>
      <c r="H18" s="23"/>
      <c r="I18" s="23"/>
      <c r="J18" s="23"/>
    </row>
    <row r="37" spans="1:10">
      <c r="A37" s="23" t="s">
        <v>17</v>
      </c>
      <c r="B37" s="23"/>
      <c r="C37" s="23"/>
      <c r="D37" s="23"/>
      <c r="E37" s="23"/>
      <c r="F37" s="23"/>
      <c r="G37" s="23"/>
      <c r="H37" s="23"/>
      <c r="I37" s="23"/>
      <c r="J37" s="23"/>
    </row>
    <row r="38" spans="1:10">
      <c r="A38" s="1" t="s">
        <v>18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</sheetData>
  <mergeCells count="7">
    <mergeCell ref="A37:J37"/>
    <mergeCell ref="A38:J41"/>
    <mergeCell ref="A1:J1"/>
    <mergeCell ref="A2:J2"/>
    <mergeCell ref="A11:J11"/>
    <mergeCell ref="A12:J15"/>
    <mergeCell ref="A18:J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"/>
  <sheetViews>
    <sheetView topLeftCell="L1" zoomScaleNormal="100" zoomScaleSheetLayoutView="100" workbookViewId="0">
      <selection activeCell="D11" sqref="D11"/>
    </sheetView>
  </sheetViews>
  <sheetFormatPr defaultRowHeight="15"/>
  <cols>
    <col min="1" max="1" width="11" style="3" customWidth="1"/>
    <col min="2" max="2" width="30" style="3" customWidth="1"/>
    <col min="3" max="3" width="26" style="3" customWidth="1"/>
    <col min="4" max="4" width="42" style="3" customWidth="1"/>
    <col min="5" max="5" width="11" style="3" customWidth="1"/>
    <col min="6" max="6" width="9" style="3" customWidth="1"/>
    <col min="7" max="7" width="12" style="3" customWidth="1"/>
    <col min="8" max="8" width="14" style="3" customWidth="1"/>
    <col min="9" max="9" width="36" style="3" customWidth="1"/>
    <col min="10" max="10" width="14" style="3" customWidth="1"/>
    <col min="11" max="12" width="13" style="3" customWidth="1"/>
    <col min="13" max="13" width="14" style="3" customWidth="1"/>
    <col min="14" max="14" width="12" style="3" customWidth="1"/>
    <col min="15" max="15" width="24" style="3" customWidth="1"/>
    <col min="16" max="16" width="46" style="3" customWidth="1"/>
    <col min="17" max="17" width="13" style="3" customWidth="1"/>
    <col min="18" max="18" width="15" style="3" customWidth="1"/>
    <col min="19" max="16384" width="9" style="3"/>
  </cols>
  <sheetData>
    <row r="1" spans="1:18" ht="30" customHeight="1">
      <c r="A1" s="6" t="s">
        <v>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>
      <c r="A2" s="4" t="s">
        <v>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ht="33.950000000000003" customHeight="1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7" t="s">
        <v>31</v>
      </c>
      <c r="L4" s="7" t="s">
        <v>32</v>
      </c>
      <c r="M4" s="7" t="s">
        <v>4</v>
      </c>
      <c r="N4" s="7" t="s">
        <v>33</v>
      </c>
      <c r="O4" s="7" t="s">
        <v>34</v>
      </c>
      <c r="P4" s="7" t="s">
        <v>35</v>
      </c>
      <c r="Q4" s="7" t="s">
        <v>36</v>
      </c>
      <c r="R4" s="7" t="s">
        <v>37</v>
      </c>
    </row>
    <row r="5" spans="1:18" ht="60.75">
      <c r="A5" s="8" t="s">
        <v>38</v>
      </c>
      <c r="B5" s="8" t="s">
        <v>39</v>
      </c>
      <c r="C5" s="8" t="s">
        <v>40</v>
      </c>
      <c r="D5" s="8" t="s">
        <v>41</v>
      </c>
      <c r="E5" s="8">
        <v>4</v>
      </c>
      <c r="F5" s="8">
        <v>4</v>
      </c>
      <c r="G5" s="8">
        <f>E5*F5</f>
        <v>16</v>
      </c>
      <c r="H5" s="8" t="str">
        <f>IF(G5&lt;=4,"Low",IF(G5&lt;=9,"Medium",IF(G5&lt;=16,"High","Critical")))</f>
        <v>High</v>
      </c>
      <c r="I5" s="8" t="s">
        <v>42</v>
      </c>
      <c r="J5" s="8">
        <v>4</v>
      </c>
      <c r="K5" s="8">
        <v>4</v>
      </c>
      <c r="L5" s="8">
        <f>J5*K5</f>
        <v>16</v>
      </c>
      <c r="M5" s="8" t="str">
        <f>IF(L5&lt;=4,"Low",IF(L5&lt;=9,"Medium",IF(L5&lt;=16,"High","Critical")))</f>
        <v>High</v>
      </c>
      <c r="N5" s="8" t="s">
        <v>43</v>
      </c>
      <c r="O5" s="8" t="s">
        <v>44</v>
      </c>
      <c r="P5" s="8" t="s">
        <v>45</v>
      </c>
      <c r="Q5" s="8" t="s">
        <v>46</v>
      </c>
      <c r="R5" s="9">
        <v>46332</v>
      </c>
    </row>
    <row r="6" spans="1:18" ht="60.75">
      <c r="A6" s="8" t="s">
        <v>47</v>
      </c>
      <c r="B6" s="8" t="s">
        <v>48</v>
      </c>
      <c r="C6" s="8" t="s">
        <v>49</v>
      </c>
      <c r="D6" s="8" t="s">
        <v>50</v>
      </c>
      <c r="E6" s="8">
        <v>4</v>
      </c>
      <c r="F6" s="8">
        <v>4</v>
      </c>
      <c r="G6" s="8">
        <f>E6*F6</f>
        <v>16</v>
      </c>
      <c r="H6" s="8" t="str">
        <f>IF(G6&lt;=4,"Low",IF(G6&lt;=9,"Medium",IF(G6&lt;=16,"High","Critical")))</f>
        <v>High</v>
      </c>
      <c r="I6" s="8" t="s">
        <v>51</v>
      </c>
      <c r="J6" s="8">
        <v>4</v>
      </c>
      <c r="K6" s="8">
        <v>4</v>
      </c>
      <c r="L6" s="8">
        <f>J6*K6</f>
        <v>16</v>
      </c>
      <c r="M6" s="8" t="str">
        <f>IF(L6&lt;=4,"Low",IF(L6&lt;=9,"Medium",IF(L6&lt;=16,"High","Critical")))</f>
        <v>High</v>
      </c>
      <c r="N6" s="8" t="s">
        <v>43</v>
      </c>
      <c r="O6" s="8" t="s">
        <v>52</v>
      </c>
      <c r="P6" s="8" t="s">
        <v>53</v>
      </c>
      <c r="Q6" s="8" t="s">
        <v>46</v>
      </c>
      <c r="R6" s="9">
        <v>46325</v>
      </c>
    </row>
    <row r="7" spans="1:18" ht="60.75">
      <c r="A7" s="8" t="s">
        <v>54</v>
      </c>
      <c r="B7" s="8" t="s">
        <v>55</v>
      </c>
      <c r="C7" s="8" t="s">
        <v>56</v>
      </c>
      <c r="D7" s="8" t="s">
        <v>57</v>
      </c>
      <c r="E7" s="8">
        <v>4</v>
      </c>
      <c r="F7" s="8">
        <v>4</v>
      </c>
      <c r="G7" s="8">
        <f>E7*F7</f>
        <v>16</v>
      </c>
      <c r="H7" s="8" t="str">
        <f>IF(G7&lt;=4,"Low",IF(G7&lt;=9,"Medium",IF(G7&lt;=16,"High","Critical")))</f>
        <v>High</v>
      </c>
      <c r="I7" s="8" t="s">
        <v>58</v>
      </c>
      <c r="J7" s="8">
        <v>4</v>
      </c>
      <c r="K7" s="8">
        <v>4</v>
      </c>
      <c r="L7" s="8">
        <f>J7*K7</f>
        <v>16</v>
      </c>
      <c r="M7" s="8" t="str">
        <f>IF(L7&lt;=4,"Low",IF(L7&lt;=9,"Medium",IF(L7&lt;=16,"High","Critical")))</f>
        <v>High</v>
      </c>
      <c r="N7" s="8" t="s">
        <v>43</v>
      </c>
      <c r="O7" s="8" t="s">
        <v>59</v>
      </c>
      <c r="P7" s="8" t="s">
        <v>60</v>
      </c>
      <c r="Q7" s="8" t="s">
        <v>46</v>
      </c>
      <c r="R7" s="9">
        <v>46308</v>
      </c>
    </row>
    <row r="8" spans="1:18" ht="45.75">
      <c r="A8" s="8" t="s">
        <v>61</v>
      </c>
      <c r="B8" s="8" t="s">
        <v>62</v>
      </c>
      <c r="C8" s="8" t="s">
        <v>63</v>
      </c>
      <c r="D8" s="8" t="s">
        <v>64</v>
      </c>
      <c r="E8" s="8">
        <v>3</v>
      </c>
      <c r="F8" s="8">
        <v>4</v>
      </c>
      <c r="G8" s="8">
        <f>E8*F8</f>
        <v>12</v>
      </c>
      <c r="H8" s="8" t="str">
        <f>IF(G8&lt;=4,"Low",IF(G8&lt;=9,"Medium",IF(G8&lt;=16,"High","Critical")))</f>
        <v>High</v>
      </c>
      <c r="I8" s="8" t="s">
        <v>65</v>
      </c>
      <c r="J8" s="8">
        <v>2</v>
      </c>
      <c r="K8" s="8">
        <v>4</v>
      </c>
      <c r="L8" s="8">
        <f>J8*K8</f>
        <v>8</v>
      </c>
      <c r="M8" s="8" t="str">
        <f>IF(L8&lt;=4,"Low",IF(L8&lt;=9,"Medium",IF(L8&lt;=16,"High","Critical")))</f>
        <v>Medium</v>
      </c>
      <c r="N8" s="8" t="s">
        <v>43</v>
      </c>
      <c r="O8" s="8" t="s">
        <v>66</v>
      </c>
      <c r="P8" s="8" t="s">
        <v>67</v>
      </c>
      <c r="Q8" s="8" t="s">
        <v>46</v>
      </c>
      <c r="R8" s="9">
        <v>46356</v>
      </c>
    </row>
    <row r="9" spans="1:18" ht="60.75">
      <c r="A9" s="8" t="s">
        <v>68</v>
      </c>
      <c r="B9" s="8" t="s">
        <v>69</v>
      </c>
      <c r="C9" s="8" t="s">
        <v>70</v>
      </c>
      <c r="D9" s="8" t="s">
        <v>71</v>
      </c>
      <c r="E9" s="8">
        <v>4</v>
      </c>
      <c r="F9" s="8">
        <v>4</v>
      </c>
      <c r="G9" s="8">
        <f>E9*F9</f>
        <v>16</v>
      </c>
      <c r="H9" s="8" t="str">
        <f>IF(G9&lt;=4,"Low",IF(G9&lt;=9,"Medium",IF(G9&lt;=16,"High","Critical")))</f>
        <v>High</v>
      </c>
      <c r="I9" s="8" t="s">
        <v>72</v>
      </c>
      <c r="J9" s="8">
        <v>4</v>
      </c>
      <c r="K9" s="8">
        <v>4</v>
      </c>
      <c r="L9" s="8">
        <f>J9*K9</f>
        <v>16</v>
      </c>
      <c r="M9" s="8" t="str">
        <f>IF(L9&lt;=4,"Low",IF(L9&lt;=9,"Medium",IF(L9&lt;=16,"High","Critical")))</f>
        <v>High</v>
      </c>
      <c r="N9" s="8" t="s">
        <v>43</v>
      </c>
      <c r="O9" s="8" t="s">
        <v>73</v>
      </c>
      <c r="P9" s="8" t="s">
        <v>74</v>
      </c>
      <c r="Q9" s="8" t="s">
        <v>46</v>
      </c>
      <c r="R9" s="9">
        <v>46346</v>
      </c>
    </row>
  </sheetData>
  <mergeCells count="2">
    <mergeCell ref="A1:R1"/>
    <mergeCell ref="A2:R2"/>
  </mergeCells>
  <conditionalFormatting sqref="H5:H50">
    <cfRule type="expression" dxfId="52" priority="1">
      <formula>$H5="Low"</formula>
    </cfRule>
    <cfRule type="expression" dxfId="51" priority="2">
      <formula>$H5="Medium"</formula>
    </cfRule>
    <cfRule type="expression" dxfId="50" priority="3">
      <formula>$H5="High"</formula>
    </cfRule>
    <cfRule type="expression" dxfId="49" priority="4">
      <formula>$H5="Critical"</formula>
    </cfRule>
  </conditionalFormatting>
  <conditionalFormatting sqref="M5:M50">
    <cfRule type="expression" dxfId="48" priority="5">
      <formula>$M5="Low"</formula>
    </cfRule>
    <cfRule type="expression" dxfId="47" priority="6">
      <formula>$M5="Medium"</formula>
    </cfRule>
    <cfRule type="expression" dxfId="46" priority="7">
      <formula>$M5="High"</formula>
    </cfRule>
    <cfRule type="expression" dxfId="45" priority="8">
      <formula>$M5="Critical"</formula>
    </cfRule>
  </conditionalFormatting>
  <dataValidations count="3">
    <dataValidation type="list" sqref="J5:K50 E5:F50" xr:uid="{00000000-0002-0000-0100-000000000000}">
      <formula1>"1,2,3,4,5"</formula1>
    </dataValidation>
    <dataValidation type="list" sqref="N5:N50" xr:uid="{00000000-0002-0000-0100-000004000000}">
      <formula1>"Mitigate,Accept,Transfer"</formula1>
    </dataValidation>
    <dataValidation type="list" sqref="Q5:Q50" xr:uid="{00000000-0002-0000-0100-000005000000}">
      <formula1>"Open,In Progress,Closed"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zoomScaleNormal="100" zoomScaleSheetLayoutView="100" workbookViewId="0">
      <selection activeCell="C18" sqref="A1:XFD1048576"/>
    </sheetView>
  </sheetViews>
  <sheetFormatPr defaultRowHeight="15"/>
  <cols>
    <col min="1" max="1" width="22" style="3" customWidth="1"/>
    <col min="2" max="6" width="12" style="3" customWidth="1"/>
    <col min="7" max="16384" width="9" style="3"/>
  </cols>
  <sheetData>
    <row r="1" spans="1:6" ht="30" customHeight="1">
      <c r="A1" s="6" t="s">
        <v>75</v>
      </c>
      <c r="B1" s="6"/>
      <c r="C1" s="6"/>
      <c r="D1" s="6"/>
      <c r="E1" s="6"/>
      <c r="F1" s="6"/>
    </row>
    <row r="3" spans="1:6">
      <c r="A3" s="10" t="s">
        <v>76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</row>
    <row r="4" spans="1:6">
      <c r="A4" s="11">
        <v>5</v>
      </c>
      <c r="B4" s="12">
        <v>5</v>
      </c>
      <c r="C4" s="13">
        <v>10</v>
      </c>
      <c r="D4" s="13">
        <v>15</v>
      </c>
      <c r="E4" s="14">
        <v>20</v>
      </c>
      <c r="F4" s="14">
        <v>25</v>
      </c>
    </row>
    <row r="5" spans="1:6">
      <c r="A5" s="11">
        <v>4</v>
      </c>
      <c r="B5" s="15">
        <v>4</v>
      </c>
      <c r="C5" s="12">
        <v>8</v>
      </c>
      <c r="D5" s="13">
        <v>12</v>
      </c>
      <c r="E5" s="13">
        <v>16</v>
      </c>
      <c r="F5" s="14">
        <v>20</v>
      </c>
    </row>
    <row r="6" spans="1:6">
      <c r="A6" s="11">
        <v>3</v>
      </c>
      <c r="B6" s="15">
        <v>3</v>
      </c>
      <c r="C6" s="12">
        <v>6</v>
      </c>
      <c r="D6" s="12">
        <v>9</v>
      </c>
      <c r="E6" s="13">
        <v>12</v>
      </c>
      <c r="F6" s="13">
        <v>15</v>
      </c>
    </row>
    <row r="7" spans="1:6">
      <c r="A7" s="11">
        <v>2</v>
      </c>
      <c r="B7" s="15">
        <v>2</v>
      </c>
      <c r="C7" s="15">
        <v>4</v>
      </c>
      <c r="D7" s="12">
        <v>6</v>
      </c>
      <c r="E7" s="12">
        <v>8</v>
      </c>
      <c r="F7" s="13">
        <v>10</v>
      </c>
    </row>
    <row r="8" spans="1:6">
      <c r="A8" s="11">
        <v>1</v>
      </c>
      <c r="B8" s="15">
        <v>1</v>
      </c>
      <c r="C8" s="15">
        <v>2</v>
      </c>
      <c r="D8" s="15">
        <v>3</v>
      </c>
      <c r="E8" s="15">
        <v>4</v>
      </c>
      <c r="F8" s="12">
        <v>5</v>
      </c>
    </row>
    <row r="10" spans="1:6">
      <c r="A10" s="5" t="s">
        <v>77</v>
      </c>
      <c r="B10" s="5" t="s">
        <v>78</v>
      </c>
    </row>
    <row r="11" spans="1:6">
      <c r="A11" s="3" t="s">
        <v>79</v>
      </c>
      <c r="B11" s="16" t="s">
        <v>7</v>
      </c>
    </row>
    <row r="12" spans="1:6">
      <c r="A12" s="3" t="s">
        <v>80</v>
      </c>
      <c r="B12" s="17" t="s">
        <v>9</v>
      </c>
    </row>
    <row r="13" spans="1:6">
      <c r="A13" s="3" t="s">
        <v>81</v>
      </c>
      <c r="B13" s="18" t="s">
        <v>11</v>
      </c>
    </row>
    <row r="14" spans="1:6">
      <c r="A14" s="3" t="s">
        <v>82</v>
      </c>
      <c r="B14" s="19" t="s">
        <v>13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topLeftCell="E1" zoomScaleNormal="100" zoomScaleSheetLayoutView="100" workbookViewId="0">
      <selection activeCell="C15" sqref="C15"/>
    </sheetView>
  </sheetViews>
  <sheetFormatPr defaultRowHeight="15"/>
  <cols>
    <col min="1" max="1" width="11" style="3" customWidth="1"/>
    <col min="2" max="2" width="44" style="3" customWidth="1"/>
    <col min="3" max="3" width="16" style="3" customWidth="1"/>
    <col min="4" max="4" width="18" style="3" customWidth="1"/>
    <col min="5" max="5" width="42" style="3" customWidth="1"/>
    <col min="6" max="6" width="28" style="3" customWidth="1"/>
    <col min="7" max="7" width="15" style="3" customWidth="1"/>
    <col min="8" max="8" width="18" style="3" customWidth="1"/>
    <col min="9" max="9" width="15" style="3" customWidth="1"/>
    <col min="10" max="10" width="38" style="3" customWidth="1"/>
    <col min="11" max="16384" width="9" style="3"/>
  </cols>
  <sheetData>
    <row r="1" spans="1:10" ht="30" customHeight="1">
      <c r="A1" s="6" t="s">
        <v>83</v>
      </c>
      <c r="B1" s="6"/>
      <c r="C1" s="6"/>
      <c r="D1" s="6"/>
      <c r="E1" s="6"/>
      <c r="F1" s="6"/>
      <c r="G1" s="6"/>
      <c r="H1" s="6"/>
      <c r="I1" s="6"/>
      <c r="J1" s="6"/>
    </row>
    <row r="3" spans="1:10">
      <c r="A3" s="20" t="s">
        <v>21</v>
      </c>
      <c r="B3" s="20" t="s">
        <v>84</v>
      </c>
      <c r="C3" s="20" t="s">
        <v>85</v>
      </c>
      <c r="D3" s="20" t="s">
        <v>86</v>
      </c>
      <c r="E3" s="20" t="s">
        <v>87</v>
      </c>
      <c r="F3" s="20" t="s">
        <v>88</v>
      </c>
      <c r="G3" s="20" t="s">
        <v>89</v>
      </c>
      <c r="H3" s="20" t="s">
        <v>90</v>
      </c>
      <c r="I3" s="20" t="s">
        <v>91</v>
      </c>
      <c r="J3" s="20" t="s">
        <v>92</v>
      </c>
    </row>
    <row r="4" spans="1:10" ht="45.75">
      <c r="A4" s="8" t="s">
        <v>38</v>
      </c>
      <c r="B4" s="8" t="s">
        <v>93</v>
      </c>
      <c r="C4" s="8" t="s">
        <v>94</v>
      </c>
      <c r="D4" s="8" t="s">
        <v>95</v>
      </c>
      <c r="E4" s="8" t="s">
        <v>96</v>
      </c>
      <c r="F4" s="8" t="s">
        <v>44</v>
      </c>
      <c r="G4" s="9">
        <v>46332</v>
      </c>
      <c r="H4" s="8" t="s">
        <v>46</v>
      </c>
      <c r="I4" s="8" t="s">
        <v>97</v>
      </c>
      <c r="J4" s="8" t="s">
        <v>98</v>
      </c>
    </row>
    <row r="5" spans="1:10" ht="45.75">
      <c r="A5" s="8" t="s">
        <v>47</v>
      </c>
      <c r="B5" s="8" t="s">
        <v>99</v>
      </c>
      <c r="C5" s="8" t="s">
        <v>94</v>
      </c>
      <c r="D5" s="8" t="s">
        <v>95</v>
      </c>
      <c r="E5" s="8" t="s">
        <v>100</v>
      </c>
      <c r="F5" s="8" t="s">
        <v>52</v>
      </c>
      <c r="G5" s="9">
        <v>46325</v>
      </c>
      <c r="H5" s="8" t="s">
        <v>46</v>
      </c>
      <c r="I5" s="8" t="s">
        <v>97</v>
      </c>
      <c r="J5" s="8" t="s">
        <v>101</v>
      </c>
    </row>
    <row r="6" spans="1:10" ht="30">
      <c r="A6" s="8" t="s">
        <v>54</v>
      </c>
      <c r="B6" s="8" t="s">
        <v>102</v>
      </c>
      <c r="C6" s="8" t="s">
        <v>94</v>
      </c>
      <c r="D6" s="8" t="s">
        <v>95</v>
      </c>
      <c r="E6" s="8" t="s">
        <v>103</v>
      </c>
      <c r="F6" s="8" t="s">
        <v>59</v>
      </c>
      <c r="G6" s="9">
        <v>46308</v>
      </c>
      <c r="H6" s="8" t="s">
        <v>46</v>
      </c>
      <c r="I6" s="8" t="s">
        <v>97</v>
      </c>
      <c r="J6" s="8" t="s">
        <v>104</v>
      </c>
    </row>
    <row r="7" spans="1:10" ht="30">
      <c r="A7" s="8" t="s">
        <v>61</v>
      </c>
      <c r="B7" s="8" t="s">
        <v>105</v>
      </c>
      <c r="C7" s="8" t="s">
        <v>94</v>
      </c>
      <c r="D7" s="8" t="s">
        <v>106</v>
      </c>
      <c r="E7" s="8" t="s">
        <v>107</v>
      </c>
      <c r="F7" s="8" t="s">
        <v>66</v>
      </c>
      <c r="G7" s="9">
        <v>46356</v>
      </c>
      <c r="H7" s="8" t="s">
        <v>46</v>
      </c>
      <c r="I7" s="8" t="s">
        <v>97</v>
      </c>
      <c r="J7" s="8" t="s">
        <v>108</v>
      </c>
    </row>
    <row r="8" spans="1:10" ht="30">
      <c r="A8" s="8" t="s">
        <v>68</v>
      </c>
      <c r="B8" s="8" t="s">
        <v>109</v>
      </c>
      <c r="C8" s="8" t="s">
        <v>110</v>
      </c>
      <c r="D8" s="8" t="s">
        <v>95</v>
      </c>
      <c r="E8" s="8" t="s">
        <v>111</v>
      </c>
      <c r="F8" s="8" t="s">
        <v>73</v>
      </c>
      <c r="G8" s="9">
        <v>46346</v>
      </c>
      <c r="H8" s="8" t="s">
        <v>46</v>
      </c>
      <c r="I8" s="8" t="s">
        <v>97</v>
      </c>
      <c r="J8" s="8" t="s">
        <v>112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topLeftCell="A3" zoomScaleNormal="100" zoomScaleSheetLayoutView="100" workbookViewId="0">
      <selection activeCell="C14" sqref="A1:XFD1048576"/>
    </sheetView>
  </sheetViews>
  <sheetFormatPr defaultRowHeight="15"/>
  <cols>
    <col min="1" max="1" width="14" style="3" customWidth="1"/>
    <col min="2" max="2" width="30" style="3" customWidth="1"/>
    <col min="3" max="4" width="43" style="3" customWidth="1"/>
    <col min="5" max="5" width="14" style="3" customWidth="1"/>
    <col min="6" max="6" width="13" style="3" customWidth="1"/>
    <col min="7" max="7" width="9" style="3" customWidth="1"/>
    <col min="8" max="8" width="12" style="3" customWidth="1"/>
    <col min="9" max="9" width="23" style="3" customWidth="1"/>
    <col min="10" max="10" width="47" style="3" customWidth="1"/>
    <col min="11" max="11" width="20" style="3" customWidth="1"/>
    <col min="12" max="16384" width="9" style="3"/>
  </cols>
  <sheetData>
    <row r="1" spans="1:11" ht="30" customHeight="1">
      <c r="A1" s="6" t="s">
        <v>113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>
      <c r="A2" s="4" t="s">
        <v>114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ht="36" customHeight="1">
      <c r="A4" s="7" t="s">
        <v>115</v>
      </c>
      <c r="B4" s="7" t="s">
        <v>116</v>
      </c>
      <c r="C4" s="7" t="s">
        <v>117</v>
      </c>
      <c r="D4" s="7" t="s">
        <v>118</v>
      </c>
      <c r="E4" s="7" t="s">
        <v>119</v>
      </c>
      <c r="F4" s="7" t="s">
        <v>120</v>
      </c>
      <c r="G4" s="7" t="s">
        <v>121</v>
      </c>
      <c r="H4" s="7" t="s">
        <v>122</v>
      </c>
      <c r="I4" s="7" t="s">
        <v>123</v>
      </c>
      <c r="J4" s="7" t="s">
        <v>124</v>
      </c>
      <c r="K4" s="7" t="s">
        <v>125</v>
      </c>
    </row>
    <row r="5" spans="1:11" ht="45.75">
      <c r="A5" s="8" t="s">
        <v>126</v>
      </c>
      <c r="B5" s="8" t="s">
        <v>127</v>
      </c>
      <c r="C5" s="8" t="s">
        <v>128</v>
      </c>
      <c r="D5" s="8" t="s">
        <v>129</v>
      </c>
      <c r="E5" s="8">
        <v>2</v>
      </c>
      <c r="F5" s="8">
        <v>4</v>
      </c>
      <c r="G5" s="8">
        <f>F5-E5</f>
        <v>2</v>
      </c>
      <c r="H5" s="21" t="s">
        <v>11</v>
      </c>
      <c r="I5" s="8" t="s">
        <v>54</v>
      </c>
      <c r="J5" s="8" t="s">
        <v>130</v>
      </c>
      <c r="K5" s="8" t="s">
        <v>131</v>
      </c>
    </row>
    <row r="6" spans="1:11" ht="45.75">
      <c r="A6" s="8" t="s">
        <v>126</v>
      </c>
      <c r="B6" s="8" t="s">
        <v>132</v>
      </c>
      <c r="C6" s="8" t="s">
        <v>133</v>
      </c>
      <c r="D6" s="8" t="s">
        <v>134</v>
      </c>
      <c r="E6" s="8">
        <v>1</v>
      </c>
      <c r="F6" s="8">
        <v>4</v>
      </c>
      <c r="G6" s="8">
        <f>F6-E6</f>
        <v>3</v>
      </c>
      <c r="H6" s="21" t="s">
        <v>11</v>
      </c>
      <c r="I6" s="8" t="s">
        <v>68</v>
      </c>
      <c r="J6" s="8" t="s">
        <v>135</v>
      </c>
      <c r="K6" s="8" t="s">
        <v>131</v>
      </c>
    </row>
    <row r="7" spans="1:11" ht="45.75">
      <c r="A7" s="8" t="s">
        <v>136</v>
      </c>
      <c r="B7" s="8" t="s">
        <v>137</v>
      </c>
      <c r="C7" s="8" t="s">
        <v>138</v>
      </c>
      <c r="D7" s="8" t="s">
        <v>139</v>
      </c>
      <c r="E7" s="8">
        <v>2</v>
      </c>
      <c r="F7" s="8">
        <v>4</v>
      </c>
      <c r="G7" s="8">
        <f>F7-E7</f>
        <v>2</v>
      </c>
      <c r="H7" s="22" t="s">
        <v>9</v>
      </c>
      <c r="I7" s="8" t="s">
        <v>140</v>
      </c>
      <c r="J7" s="8" t="s">
        <v>141</v>
      </c>
      <c r="K7" s="8" t="s">
        <v>142</v>
      </c>
    </row>
    <row r="8" spans="1:11" ht="45.75">
      <c r="A8" s="8" t="s">
        <v>143</v>
      </c>
      <c r="B8" s="8" t="s">
        <v>144</v>
      </c>
      <c r="C8" s="8" t="s">
        <v>145</v>
      </c>
      <c r="D8" s="8" t="s">
        <v>146</v>
      </c>
      <c r="E8" s="8">
        <v>1</v>
      </c>
      <c r="F8" s="8">
        <v>4</v>
      </c>
      <c r="G8" s="8">
        <f>F8-E8</f>
        <v>3</v>
      </c>
      <c r="H8" s="21" t="s">
        <v>11</v>
      </c>
      <c r="I8" s="8" t="s">
        <v>147</v>
      </c>
      <c r="J8" s="8" t="s">
        <v>148</v>
      </c>
      <c r="K8" s="8" t="s">
        <v>131</v>
      </c>
    </row>
    <row r="9" spans="1:11" ht="45.75">
      <c r="A9" s="8" t="s">
        <v>143</v>
      </c>
      <c r="B9" s="8" t="s">
        <v>149</v>
      </c>
      <c r="C9" s="8" t="s">
        <v>150</v>
      </c>
      <c r="D9" s="8" t="s">
        <v>151</v>
      </c>
      <c r="E9" s="8">
        <v>2</v>
      </c>
      <c r="F9" s="8">
        <v>4</v>
      </c>
      <c r="G9" s="8">
        <f>F9-E9</f>
        <v>2</v>
      </c>
      <c r="H9" s="21" t="s">
        <v>11</v>
      </c>
      <c r="I9" s="8" t="s">
        <v>54</v>
      </c>
      <c r="J9" s="8" t="s">
        <v>152</v>
      </c>
      <c r="K9" s="8" t="s">
        <v>131</v>
      </c>
    </row>
    <row r="10" spans="1:11" ht="45.75">
      <c r="A10" s="8" t="s">
        <v>153</v>
      </c>
      <c r="B10" s="8" t="s">
        <v>154</v>
      </c>
      <c r="C10" s="8" t="s">
        <v>155</v>
      </c>
      <c r="D10" s="8" t="s">
        <v>156</v>
      </c>
      <c r="E10" s="8">
        <v>2</v>
      </c>
      <c r="F10" s="8">
        <v>4</v>
      </c>
      <c r="G10" s="8">
        <f>F10-E10</f>
        <v>2</v>
      </c>
      <c r="H10" s="22" t="s">
        <v>9</v>
      </c>
      <c r="I10" s="8" t="s">
        <v>147</v>
      </c>
      <c r="J10" s="8" t="s">
        <v>157</v>
      </c>
      <c r="K10" s="8" t="s">
        <v>142</v>
      </c>
    </row>
    <row r="11" spans="1:11" ht="45.75">
      <c r="A11" s="8" t="s">
        <v>158</v>
      </c>
      <c r="B11" s="8" t="s">
        <v>159</v>
      </c>
      <c r="C11" s="8" t="s">
        <v>160</v>
      </c>
      <c r="D11" s="8" t="s">
        <v>161</v>
      </c>
      <c r="E11" s="8">
        <v>2</v>
      </c>
      <c r="F11" s="8">
        <v>4</v>
      </c>
      <c r="G11" s="8">
        <f>F11-E11</f>
        <v>2</v>
      </c>
      <c r="H11" s="22" t="s">
        <v>9</v>
      </c>
      <c r="I11" s="8" t="s">
        <v>38</v>
      </c>
      <c r="J11" s="8" t="s">
        <v>162</v>
      </c>
      <c r="K11" s="8" t="s">
        <v>142</v>
      </c>
    </row>
    <row r="12" spans="1:11" ht="45.75">
      <c r="A12" s="8" t="s">
        <v>163</v>
      </c>
      <c r="B12" s="8" t="s">
        <v>164</v>
      </c>
      <c r="C12" s="8" t="s">
        <v>165</v>
      </c>
      <c r="D12" s="8" t="s">
        <v>166</v>
      </c>
      <c r="E12" s="8">
        <v>2</v>
      </c>
      <c r="F12" s="8">
        <v>4</v>
      </c>
      <c r="G12" s="8">
        <f>F12-E12</f>
        <v>2</v>
      </c>
      <c r="H12" s="22" t="s">
        <v>9</v>
      </c>
      <c r="I12" s="8" t="s">
        <v>61</v>
      </c>
      <c r="J12" s="8" t="s">
        <v>167</v>
      </c>
      <c r="K12" s="8" t="s">
        <v>142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tabSelected="1" zoomScaleNormal="100" zoomScaleSheetLayoutView="100" workbookViewId="0">
      <selection activeCell="I15" sqref="A1:XFD1048576"/>
    </sheetView>
  </sheetViews>
  <sheetFormatPr defaultRowHeight="15"/>
  <cols>
    <col min="1" max="16384" width="9" style="3"/>
  </cols>
  <sheetData>
    <row r="1" spans="1:6">
      <c r="A1" s="3" t="s">
        <v>4</v>
      </c>
      <c r="B1" s="3" t="s">
        <v>5</v>
      </c>
      <c r="D1" s="3" t="s">
        <v>115</v>
      </c>
      <c r="E1" s="3" t="s">
        <v>168</v>
      </c>
      <c r="F1" s="3" t="s">
        <v>169</v>
      </c>
    </row>
    <row r="2" spans="1:6">
      <c r="A2" s="3" t="s">
        <v>7</v>
      </c>
      <c r="B2" s="3">
        <v>0</v>
      </c>
      <c r="D2" s="3" t="s">
        <v>126</v>
      </c>
      <c r="E2" s="3">
        <v>1.5</v>
      </c>
      <c r="F2" s="3">
        <v>4</v>
      </c>
    </row>
    <row r="3" spans="1:6">
      <c r="A3" s="3" t="s">
        <v>9</v>
      </c>
      <c r="B3" s="3">
        <v>1</v>
      </c>
      <c r="D3" s="3" t="s">
        <v>136</v>
      </c>
      <c r="E3" s="3">
        <v>2</v>
      </c>
      <c r="F3" s="3">
        <v>4</v>
      </c>
    </row>
    <row r="4" spans="1:6">
      <c r="A4" s="3" t="s">
        <v>11</v>
      </c>
      <c r="B4" s="3">
        <v>4</v>
      </c>
      <c r="D4" s="3" t="s">
        <v>143</v>
      </c>
      <c r="E4" s="3">
        <v>1.5</v>
      </c>
      <c r="F4" s="3">
        <v>4</v>
      </c>
    </row>
    <row r="5" spans="1:6">
      <c r="A5" s="3" t="s">
        <v>13</v>
      </c>
      <c r="B5" s="3">
        <v>0</v>
      </c>
      <c r="D5" s="3" t="s">
        <v>153</v>
      </c>
      <c r="E5" s="3">
        <v>2</v>
      </c>
      <c r="F5" s="3">
        <v>4</v>
      </c>
    </row>
    <row r="6" spans="1:6">
      <c r="D6" s="3" t="s">
        <v>158</v>
      </c>
      <c r="E6" s="3">
        <v>2</v>
      </c>
      <c r="F6" s="3">
        <v>4</v>
      </c>
    </row>
    <row r="7" spans="1:6">
      <c r="D7" s="3" t="s">
        <v>163</v>
      </c>
      <c r="E7" s="3">
        <v>2</v>
      </c>
      <c r="F7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Elizabeth Kapusa</cp:lastModifiedBy>
  <cp:revision/>
  <dcterms:created xsi:type="dcterms:W3CDTF">2026-10-06T17:44:31Z</dcterms:created>
  <dcterms:modified xsi:type="dcterms:W3CDTF">2026-10-08T16:23:12Z</dcterms:modified>
  <cp:category/>
  <cp:contentStatus/>
</cp:coreProperties>
</file>